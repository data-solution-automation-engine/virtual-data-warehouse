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ropbox\Deployment\Support Files\"/>
    </mc:Choice>
  </mc:AlternateContent>
  <bookViews>
    <workbookView minimized="1" xWindow="240" yWindow="495" windowWidth="15120" windowHeight="5505" tabRatio="678" activeTab="1"/>
  </bookViews>
  <sheets>
    <sheet name="DV - Table Mapping" sheetId="2" r:id="rId1"/>
    <sheet name="DV - Attribute Mapping" sheetId="7" r:id="rId2"/>
    <sheet name="Help" sheetId="8" r:id="rId3"/>
  </sheets>
  <calcPr calcId="162913"/>
</workbook>
</file>

<file path=xl/calcChain.xml><?xml version="1.0" encoding="utf-8"?>
<calcChain xmlns="http://schemas.openxmlformats.org/spreadsheetml/2006/main">
  <c r="D15" i="2" l="1"/>
  <c r="D9" i="2" l="1"/>
  <c r="B17" i="7" l="1"/>
  <c r="D22" i="2"/>
  <c r="B14" i="7" l="1"/>
  <c r="D14" i="7"/>
  <c r="D13" i="7"/>
  <c r="B13" i="7"/>
  <c r="B12" i="7"/>
  <c r="D12" i="7"/>
  <c r="D13" i="2"/>
  <c r="C7" i="2" l="1"/>
  <c r="C8" i="2"/>
  <c r="C9" i="2" s="1"/>
  <c r="D15" i="7"/>
  <c r="D19" i="2"/>
  <c r="A3" i="7"/>
  <c r="A4" i="7" s="1"/>
  <c r="A5" i="7" s="1"/>
  <c r="A6" i="7" s="1"/>
  <c r="A7" i="7" s="1"/>
  <c r="A8" i="7" s="1"/>
  <c r="A9" i="7" s="1"/>
  <c r="A10" i="7" s="1"/>
  <c r="A11" i="7" s="1"/>
  <c r="A12" i="7" s="1"/>
  <c r="A13" i="7" s="1"/>
  <c r="D11" i="2"/>
  <c r="C11" i="2"/>
  <c r="C18" i="2"/>
  <c r="B15" i="7" s="1"/>
  <c r="D5" i="2"/>
  <c r="C5" i="2"/>
  <c r="A14" i="7" l="1"/>
  <c r="A15" i="7" s="1"/>
  <c r="A16" i="7" s="1"/>
  <c r="A17" i="7" s="1"/>
  <c r="A18" i="7" s="1"/>
  <c r="A19" i="7" s="1"/>
  <c r="A20" i="7" s="1"/>
  <c r="C19" i="2"/>
  <c r="B16" i="7" s="1"/>
  <c r="D3" i="2"/>
  <c r="A21" i="7" l="1"/>
  <c r="B3" i="2"/>
  <c r="B4" i="2" s="1"/>
  <c r="B5" i="2" s="1"/>
  <c r="B6" i="2" s="1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C3" i="2" l="1"/>
</calcChain>
</file>

<file path=xl/sharedStrings.xml><?xml version="1.0" encoding="utf-8"?>
<sst xmlns="http://schemas.openxmlformats.org/spreadsheetml/2006/main" count="219" uniqueCount="117">
  <si>
    <t>Notes</t>
  </si>
  <si>
    <t>Business Key Attribute (as known in source)</t>
  </si>
  <si>
    <t>Target Table(s)</t>
  </si>
  <si>
    <t>Target Column(s)</t>
  </si>
  <si>
    <t>Source Table</t>
  </si>
  <si>
    <t>Source Column(s)</t>
  </si>
  <si>
    <t>Transformation Rule</t>
  </si>
  <si>
    <t>Comment</t>
  </si>
  <si>
    <t>Country</t>
  </si>
  <si>
    <t>COUNTRY</t>
  </si>
  <si>
    <t>1=1</t>
  </si>
  <si>
    <t>Realm / Subject Area / Source System</t>
  </si>
  <si>
    <t>Nr.</t>
  </si>
  <si>
    <t>Nr</t>
  </si>
  <si>
    <t>PROFILER</t>
  </si>
  <si>
    <t>STG_PROFILER_CUSTOMER_PERSONAL</t>
  </si>
  <si>
    <t>HUB_CUSTOMER</t>
  </si>
  <si>
    <t>SAT_CUSTOMER</t>
  </si>
  <si>
    <t>HUB_INCENTIVE_OFFER</t>
  </si>
  <si>
    <t>HUB_MEMBERSHIP_PLAN</t>
  </si>
  <si>
    <t>HUB_SEGMENT</t>
  </si>
  <si>
    <t>SAT_INCENTIVE_OFFER</t>
  </si>
  <si>
    <t>STG_PROFILER_OFFER</t>
  </si>
  <si>
    <t>OfferID</t>
  </si>
  <si>
    <t>Offer_Long_Description</t>
  </si>
  <si>
    <t>STG_USERMANAGED_SEGMENT</t>
  </si>
  <si>
    <t>STG_PROFILER_PERSONALISED_COSTING</t>
  </si>
  <si>
    <t>OFFER_DESCRIPTION</t>
  </si>
  <si>
    <t>GIVEN_NAME</t>
  </si>
  <si>
    <t>Given</t>
  </si>
  <si>
    <t>Surname</t>
  </si>
  <si>
    <t>Suburb</t>
  </si>
  <si>
    <t>Postcode</t>
  </si>
  <si>
    <t>Gender</t>
  </si>
  <si>
    <t>DOB</t>
  </si>
  <si>
    <t>Referee_Offer_Made</t>
  </si>
  <si>
    <t>REFERRAL_OFFER_MADE_INDICATOR</t>
  </si>
  <si>
    <t>DATE_OF_BIRTH</t>
  </si>
  <si>
    <t>GENDER</t>
  </si>
  <si>
    <t>POSTCODE</t>
  </si>
  <si>
    <t>SURNAME</t>
  </si>
  <si>
    <t>SUBURB</t>
  </si>
  <si>
    <t>LNK_CUSTOMER_OFFER</t>
  </si>
  <si>
    <t>CustomerID</t>
  </si>
  <si>
    <t>CustomerID, OfferID</t>
  </si>
  <si>
    <t>STG_PROFILER_CUSTOMER_OFFER</t>
  </si>
  <si>
    <t>STG_PROFILER_CUST_MEMBERSHIP</t>
  </si>
  <si>
    <t>LNK_MEMBERSHIP</t>
  </si>
  <si>
    <t>SAT_SEGMENT</t>
  </si>
  <si>
    <t>Done and tested</t>
  </si>
  <si>
    <t>Demographic_Segment_Description</t>
  </si>
  <si>
    <t>SEGMENT_DESCRIPTION</t>
  </si>
  <si>
    <t>LSAT_MEMBERSHIP</t>
  </si>
  <si>
    <t>MEMBERSHIP_START_DATE</t>
  </si>
  <si>
    <t>MEMBERSHIP_END_DATE</t>
  </si>
  <si>
    <t>MEMBERSHIP_STATUS</t>
  </si>
  <si>
    <t>Start_Date</t>
  </si>
  <si>
    <t>End_Date</t>
  </si>
  <si>
    <t>Status</t>
  </si>
  <si>
    <t>SALES_CHANNEL</t>
  </si>
  <si>
    <t>STG_PROFILER_PLAN</t>
  </si>
  <si>
    <t>SAT_MEMBERSHIP_PLAN_DETAIL</t>
  </si>
  <si>
    <t>PLAN_DESCRIPTION</t>
  </si>
  <si>
    <t>Plan_Desc</t>
  </si>
  <si>
    <t>SAT_MEMBERSHIP_PLAN_VALUATION</t>
  </si>
  <si>
    <t>Completely done:</t>
  </si>
  <si>
    <t>STG_PROFILER_MEMBERSHIP_PLAN</t>
  </si>
  <si>
    <t>STG_PROFILER_ESTIMATED_WORTH</t>
  </si>
  <si>
    <t>PLAN_VALUATION_DATE</t>
  </si>
  <si>
    <t>PLAN_VALUATION_AMOUNT</t>
  </si>
  <si>
    <t>Date_effective</t>
  </si>
  <si>
    <t>Value_Amount</t>
  </si>
  <si>
    <t>2=2</t>
  </si>
  <si>
    <t>3=3</t>
  </si>
  <si>
    <t>4=4</t>
  </si>
  <si>
    <t>5=5</t>
  </si>
  <si>
    <t>6=6</t>
  </si>
  <si>
    <t>7=7</t>
  </si>
  <si>
    <t>8=8</t>
  </si>
  <si>
    <t>9=9</t>
  </si>
  <si>
    <t>10=10</t>
  </si>
  <si>
    <t>11=11</t>
  </si>
  <si>
    <t>12=12</t>
  </si>
  <si>
    <t>13=13</t>
  </si>
  <si>
    <t>14=14</t>
  </si>
  <si>
    <t>15=15</t>
  </si>
  <si>
    <t>16=16</t>
  </si>
  <si>
    <t>17=17</t>
  </si>
  <si>
    <t>18=18</t>
  </si>
  <si>
    <t>CONTACT_NUMBER</t>
  </si>
  <si>
    <t>Contact_Number</t>
  </si>
  <si>
    <t>Member</t>
  </si>
  <si>
    <t>LNK_CUSTOMER_COSTING</t>
  </si>
  <si>
    <t>LSAT_CUSTOMER_COSTING</t>
  </si>
  <si>
    <t>COSTING_EFFECTIVE_DATE</t>
  </si>
  <si>
    <t>PERSONAL_MONTHLY_COST</t>
  </si>
  <si>
    <t>Monthly_Cost</t>
  </si>
  <si>
    <t>LSAT_CUSTOMER_OFFER</t>
  </si>
  <si>
    <t>Multi-active LSAT</t>
  </si>
  <si>
    <t>Normal history LSAT</t>
  </si>
  <si>
    <t>Driving Key LSAT</t>
  </si>
  <si>
    <t>Staging Area table (source)</t>
  </si>
  <si>
    <t>Data Vault table (target)</t>
  </si>
  <si>
    <t>Filter Criteria</t>
  </si>
  <si>
    <r>
      <t xml:space="preserve">To define a componiste Business Key, use </t>
    </r>
    <r>
      <rPr>
        <b/>
        <sz val="10"/>
        <color theme="1"/>
        <rFont val="Calibri"/>
        <family val="2"/>
        <scheme val="minor"/>
      </rPr>
      <t>COMPOSITE(Key1, Key2)</t>
    </r>
    <r>
      <rPr>
        <sz val="10"/>
        <color theme="1"/>
        <rFont val="Calibri"/>
        <family val="2"/>
        <scheme val="minor"/>
      </rPr>
      <t xml:space="preserve"> </t>
    </r>
  </si>
  <si>
    <r>
      <t xml:space="preserve">To concatenate keys, use </t>
    </r>
    <r>
      <rPr>
        <b/>
        <sz val="10"/>
        <color theme="1"/>
        <rFont val="Calibri"/>
        <family val="2"/>
        <scheme val="minor"/>
      </rPr>
      <t>CONCATENTATE(Key1;Key2)</t>
    </r>
  </si>
  <si>
    <r>
      <t xml:space="preserve">To pivot fields into separate keys use </t>
    </r>
    <r>
      <rPr>
        <b/>
        <sz val="10"/>
        <color theme="1"/>
        <rFont val="Calibri"/>
        <family val="2"/>
        <scheme val="minor"/>
      </rPr>
      <t>PIVOT (Key1,Key2)</t>
    </r>
  </si>
  <si>
    <t>To insert hard-coded text as part of the Business Key definition use quotes (e.g. '&lt;text&gt;')</t>
  </si>
  <si>
    <t xml:space="preserve">An example of a complex Business Key definition is COMPOSITE(CONCAT(CUSTOMER_ID;'AUS';RECORD_VERSION), SSN) </t>
  </si>
  <si>
    <t>COMPOSITE(Plan_Code,'XYZ')</t>
  </si>
  <si>
    <t>CustomerID, COMPOSITE(Plan_Code,'XYZ')</t>
  </si>
  <si>
    <t>CONCATENATE(Segment;'TEST')</t>
  </si>
  <si>
    <t>CONCATENATE(Demographic_Segment_Code;'TEST')</t>
  </si>
  <si>
    <t>COMPOSITE(Plan_Code,'XYZ'), Member, CONCATENATE(Segment;'TEST')</t>
  </si>
  <si>
    <t>Degenerate attribute example</t>
  </si>
  <si>
    <t>Multi-active Satellite value example</t>
  </si>
  <si>
    <t>Multi-active LSAT example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</si>
</sst>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  <xf numFmtId="0" fontId="2" fillId="0" borderId="0" xfId="0" applyFont="1"/>
    <xf numFmtId="0" fontId="1" fillId="0" borderId="0" xfId="0" applyFont="1" applyFill="1"/>
    <xf numFmtId="0" fontId="2" fillId="2" borderId="0" xfId="0" applyFont="1" applyFill="1"/>
    <xf numFmtId="0" fontId="2" fillId="0" borderId="0" xfId="0" applyFont="1" applyFill="1"/>
    <xf numFmtId="0" fontId="2" fillId="4" borderId="0" xfId="0" applyFont="1" applyFill="1"/>
    <xf numFmtId="0" fontId="2" fillId="0" borderId="0" xfId="0" applyFont="1" applyAlignment="1">
      <alignment wrapText="1"/>
    </xf>
    <xf numFmtId="0" fontId="3" fillId="3" borderId="1" xfId="0" applyFont="1" applyFill="1" applyBorder="1"/>
    <xf numFmtId="0" fontId="4" fillId="0" borderId="0" xfId="0" applyFont="1"/>
    <xf numFmtId="0" fontId="4" fillId="4" borderId="0" xfId="0" applyFont="1" applyFill="1"/>
    <xf numFmtId="0" fontId="4" fillId="0" borderId="0" xfId="0" applyFont="1" applyFill="1"/>
    <xf numFmtId="0" fontId="4" fillId="0" borderId="0" xfId="0" applyFont="1" applyFill="1" applyAlignment="1">
      <alignment wrapText="1"/>
    </xf>
    <xf numFmtId="0" fontId="4" fillId="2" borderId="0" xfId="0" applyFont="1" applyFill="1"/>
    <xf numFmtId="0" fontId="4" fillId="0" borderId="0" xfId="0" applyNumberFormat="1" applyFont="1"/>
    <xf numFmtId="0" fontId="2" fillId="0" borderId="0" xfId="0" applyFont="1" applyFill="1" applyAlignment="1">
      <alignment wrapText="1"/>
    </xf>
  </cellXfs>
  <cellStyles count="1">
    <cellStyle name="Normal" xfId="0" builtinId="0"/>
  </cellStyles>
  <dxfs count="25"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25</xdr:row>
      <xdr:rowOff>19050</xdr:rowOff>
    </xdr:from>
    <xdr:to>
      <xdr:col>2</xdr:col>
      <xdr:colOff>419100</xdr:colOff>
      <xdr:row>27</xdr:row>
      <xdr:rowOff>133350</xdr:rowOff>
    </xdr:to>
    <xdr:sp macro="[0]!Export_DV_metadata" textlink="">
      <xdr:nvSpPr>
        <xdr:cNvPr id="2" name="Rounded Rectangle 1"/>
        <xdr:cNvSpPr/>
      </xdr:nvSpPr>
      <xdr:spPr>
        <a:xfrm>
          <a:off x="0" y="4543425"/>
          <a:ext cx="1933575" cy="476250"/>
        </a:xfrm>
        <a:prstGeom prst="roundRect">
          <a:avLst/>
        </a:prstGeom>
        <a:solidFill>
          <a:schemeClr val="tx2">
            <a:lumMod val="75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Forward Engineer</a:t>
          </a:r>
          <a:r>
            <a:rPr lang="en-US" sz="1100" baseline="0"/>
            <a:t> Metadata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19050</xdr:rowOff>
    </xdr:from>
    <xdr:to>
      <xdr:col>1</xdr:col>
      <xdr:colOff>1457325</xdr:colOff>
      <xdr:row>24</xdr:row>
      <xdr:rowOff>133350</xdr:rowOff>
    </xdr:to>
    <xdr:sp macro="[0]!Export_DV_mapping_metadata" textlink="">
      <xdr:nvSpPr>
        <xdr:cNvPr id="4" name="Rounded Rectangle 3"/>
        <xdr:cNvSpPr/>
      </xdr:nvSpPr>
      <xdr:spPr>
        <a:xfrm>
          <a:off x="0" y="3609975"/>
          <a:ext cx="1876425" cy="495300"/>
        </a:xfrm>
        <a:prstGeom prst="roundRect">
          <a:avLst/>
        </a:prstGeom>
        <a:solidFill>
          <a:schemeClr val="tx2">
            <a:lumMod val="75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Forward Engineer Metadata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A1:G24" totalsRowShown="0" headerRowDxfId="16" dataDxfId="15">
  <autoFilter ref="A1:G24"/>
  <tableColumns count="7">
    <tableColumn id="1" name="Realm / Subject Area / Source System" dataDxfId="14"/>
    <tableColumn id="2" name="Nr." dataDxfId="13"/>
    <tableColumn id="4" name="Staging Area table (source)" dataDxfId="12"/>
    <tableColumn id="5" name="Business Key Attribute (as known in source)" dataDxfId="11"/>
    <tableColumn id="3" name="Data Vault table (target)" dataDxfId="10"/>
    <tableColumn id="6" name="Filter Criteria" dataDxfId="9"/>
    <tableColumn id="10" name="Notes" dataDxfId="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B1:G21" totalsRowShown="0" headerRowDxfId="7" dataDxfId="6">
  <autoFilter ref="B1:G21"/>
  <tableColumns count="6">
    <tableColumn id="3" name="Source Table" dataDxfId="5">
      <calculatedColumnFormula>'DV - Table Mapping'!C4</calculatedColumnFormula>
    </tableColumn>
    <tableColumn id="4" name="Source Column(s)" dataDxfId="4"/>
    <tableColumn id="1" name="Target Table(s)" dataDxfId="3">
      <calculatedColumnFormula>'DV - Table Mapping'!E4</calculatedColumnFormula>
    </tableColumn>
    <tableColumn id="2" name="Target Column(s)" dataDxfId="2"/>
    <tableColumn id="5" name="Transformation Rule" dataDxfId="1"/>
    <tableColumn id="6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  <pageSetUpPr fitToPage="1"/>
  </sheetPr>
  <dimension ref="A1:H40"/>
  <sheetViews>
    <sheetView zoomScale="85" zoomScaleNormal="85" workbookViewId="0">
      <selection activeCell="C29" sqref="C29"/>
    </sheetView>
  </sheetViews>
  <sheetFormatPr defaultColWidth="9.140625" defaultRowHeight="14.25" customHeight="1" x14ac:dyDescent="0.25"/>
  <cols>
    <col min="1" max="1" width="15.28515625" style="3" customWidth="1"/>
    <col min="2" max="2" width="7.42578125" style="3" customWidth="1"/>
    <col min="3" max="3" width="33.85546875" style="3" bestFit="1" customWidth="1"/>
    <col min="4" max="4" width="56.7109375" bestFit="1" customWidth="1"/>
    <col min="5" max="5" width="43.140625" style="3" bestFit="1" customWidth="1"/>
    <col min="6" max="6" width="13.7109375" bestFit="1" customWidth="1"/>
    <col min="7" max="7" width="32.5703125" style="8" bestFit="1" customWidth="1"/>
    <col min="8" max="8" width="11.28515625" style="3" bestFit="1" customWidth="1"/>
    <col min="9" max="9" width="42.5703125" style="3" customWidth="1"/>
    <col min="10" max="16384" width="9.140625" style="3"/>
  </cols>
  <sheetData>
    <row r="1" spans="1:7" s="1" customFormat="1" ht="14.25" customHeight="1" x14ac:dyDescent="0.2">
      <c r="A1" s="1" t="s">
        <v>11</v>
      </c>
      <c r="B1" s="1" t="s">
        <v>12</v>
      </c>
      <c r="C1" s="1" t="s">
        <v>101</v>
      </c>
      <c r="D1" s="2" t="s">
        <v>1</v>
      </c>
      <c r="E1" s="1" t="s">
        <v>102</v>
      </c>
      <c r="F1" s="1" t="s">
        <v>103</v>
      </c>
      <c r="G1" s="1" t="s">
        <v>0</v>
      </c>
    </row>
    <row r="2" spans="1:7" ht="14.25" customHeight="1" x14ac:dyDescent="0.2">
      <c r="A2" s="3" t="s">
        <v>14</v>
      </c>
      <c r="B2" s="4">
        <v>1</v>
      </c>
      <c r="C2" s="6" t="s">
        <v>15</v>
      </c>
      <c r="D2" s="6" t="s">
        <v>43</v>
      </c>
      <c r="E2" s="5" t="s">
        <v>16</v>
      </c>
      <c r="F2" s="6" t="s">
        <v>10</v>
      </c>
      <c r="G2" s="3" t="s">
        <v>49</v>
      </c>
    </row>
    <row r="3" spans="1:7" ht="14.25" customHeight="1" x14ac:dyDescent="0.2">
      <c r="A3" s="3" t="s">
        <v>14</v>
      </c>
      <c r="B3" s="4">
        <f>B2+1</f>
        <v>2</v>
      </c>
      <c r="C3" s="12" t="str">
        <f>C2</f>
        <v>STG_PROFILER_CUSTOMER_PERSONAL</v>
      </c>
      <c r="D3" s="13" t="str">
        <f>D2</f>
        <v>CustomerID</v>
      </c>
      <c r="E3" s="14" t="s">
        <v>17</v>
      </c>
      <c r="F3" s="6" t="s">
        <v>72</v>
      </c>
      <c r="G3" s="3" t="s">
        <v>49</v>
      </c>
    </row>
    <row r="4" spans="1:7" ht="14.25" customHeight="1" x14ac:dyDescent="0.2">
      <c r="A4" s="3" t="s">
        <v>14</v>
      </c>
      <c r="B4" s="4">
        <f t="shared" ref="B4:B24" si="0">B3+1</f>
        <v>3</v>
      </c>
      <c r="C4" s="6" t="s">
        <v>22</v>
      </c>
      <c r="D4" s="6" t="s">
        <v>23</v>
      </c>
      <c r="E4" s="7" t="s">
        <v>18</v>
      </c>
      <c r="F4" s="6" t="s">
        <v>73</v>
      </c>
      <c r="G4" s="3" t="s">
        <v>49</v>
      </c>
    </row>
    <row r="5" spans="1:7" ht="14.25" customHeight="1" x14ac:dyDescent="0.2">
      <c r="A5" s="3" t="s">
        <v>14</v>
      </c>
      <c r="B5" s="4">
        <f t="shared" si="0"/>
        <v>4</v>
      </c>
      <c r="C5" s="12" t="str">
        <f>C4</f>
        <v>STG_PROFILER_OFFER</v>
      </c>
      <c r="D5" s="13" t="str">
        <f>D4</f>
        <v>OfferID</v>
      </c>
      <c r="E5" s="11" t="s">
        <v>21</v>
      </c>
      <c r="F5" s="6" t="s">
        <v>74</v>
      </c>
      <c r="G5" s="3" t="s">
        <v>49</v>
      </c>
    </row>
    <row r="6" spans="1:7" ht="14.25" customHeight="1" x14ac:dyDescent="0.2">
      <c r="A6" s="3" t="s">
        <v>14</v>
      </c>
      <c r="B6" s="4">
        <f t="shared" si="0"/>
        <v>5</v>
      </c>
      <c r="C6" s="12" t="s">
        <v>45</v>
      </c>
      <c r="D6" s="13" t="s">
        <v>43</v>
      </c>
      <c r="E6" s="11" t="s">
        <v>16</v>
      </c>
      <c r="F6" s="6" t="s">
        <v>75</v>
      </c>
      <c r="G6" s="3" t="s">
        <v>49</v>
      </c>
    </row>
    <row r="7" spans="1:7" ht="14.25" customHeight="1" x14ac:dyDescent="0.2">
      <c r="A7" s="3" t="s">
        <v>14</v>
      </c>
      <c r="B7" s="4">
        <f t="shared" si="0"/>
        <v>6</v>
      </c>
      <c r="C7" s="12" t="str">
        <f>C6</f>
        <v>STG_PROFILER_CUSTOMER_OFFER</v>
      </c>
      <c r="D7" s="13" t="s">
        <v>23</v>
      </c>
      <c r="E7" s="11" t="s">
        <v>18</v>
      </c>
      <c r="F7" s="12" t="s">
        <v>76</v>
      </c>
      <c r="G7" s="3" t="s">
        <v>49</v>
      </c>
    </row>
    <row r="8" spans="1:7" ht="14.25" customHeight="1" x14ac:dyDescent="0.2">
      <c r="A8" s="10" t="s">
        <v>14</v>
      </c>
      <c r="B8" s="4">
        <f t="shared" si="0"/>
        <v>7</v>
      </c>
      <c r="C8" s="12" t="str">
        <f>C6</f>
        <v>STG_PROFILER_CUSTOMER_OFFER</v>
      </c>
      <c r="D8" s="13" t="s">
        <v>44</v>
      </c>
      <c r="E8" s="11" t="s">
        <v>42</v>
      </c>
      <c r="F8" s="12" t="s">
        <v>77</v>
      </c>
      <c r="G8" s="3" t="s">
        <v>49</v>
      </c>
    </row>
    <row r="9" spans="1:7" ht="14.25" customHeight="1" x14ac:dyDescent="0.2">
      <c r="A9" s="10" t="s">
        <v>14</v>
      </c>
      <c r="B9" s="4">
        <f t="shared" si="0"/>
        <v>8</v>
      </c>
      <c r="C9" s="12" t="str">
        <f>C8</f>
        <v>STG_PROFILER_CUSTOMER_OFFER</v>
      </c>
      <c r="D9" s="13" t="str">
        <f>D8</f>
        <v>CustomerID, OfferID</v>
      </c>
      <c r="E9" s="11" t="s">
        <v>97</v>
      </c>
      <c r="F9" s="12" t="s">
        <v>77</v>
      </c>
      <c r="G9" s="7" t="s">
        <v>100</v>
      </c>
    </row>
    <row r="10" spans="1:7" ht="14.25" customHeight="1" x14ac:dyDescent="0.2">
      <c r="A10" s="3" t="s">
        <v>14</v>
      </c>
      <c r="B10" s="4">
        <f t="shared" si="0"/>
        <v>9</v>
      </c>
      <c r="C10" s="12" t="s">
        <v>25</v>
      </c>
      <c r="D10" s="13" t="s">
        <v>112</v>
      </c>
      <c r="E10" s="11" t="s">
        <v>20</v>
      </c>
      <c r="F10" s="12" t="s">
        <v>78</v>
      </c>
      <c r="G10" s="3" t="s">
        <v>49</v>
      </c>
    </row>
    <row r="11" spans="1:7" ht="14.25" customHeight="1" x14ac:dyDescent="0.2">
      <c r="A11" s="3" t="s">
        <v>14</v>
      </c>
      <c r="B11" s="4">
        <f t="shared" si="0"/>
        <v>10</v>
      </c>
      <c r="C11" s="12" t="str">
        <f>C10</f>
        <v>STG_USERMANAGED_SEGMENT</v>
      </c>
      <c r="D11" s="13" t="str">
        <f>D10</f>
        <v>CONCATENATE(Demographic_Segment_Code;'TEST')</v>
      </c>
      <c r="E11" s="11" t="s">
        <v>48</v>
      </c>
      <c r="F11" s="12" t="s">
        <v>79</v>
      </c>
      <c r="G11" s="3" t="s">
        <v>49</v>
      </c>
    </row>
    <row r="12" spans="1:7" ht="14.25" customHeight="1" x14ac:dyDescent="0.2">
      <c r="A12" s="3" t="s">
        <v>14</v>
      </c>
      <c r="B12" s="4">
        <f t="shared" si="0"/>
        <v>11</v>
      </c>
      <c r="C12" s="12" t="s">
        <v>60</v>
      </c>
      <c r="D12" s="16" t="s">
        <v>109</v>
      </c>
      <c r="E12" s="11" t="s">
        <v>19</v>
      </c>
      <c r="F12" s="12" t="s">
        <v>80</v>
      </c>
      <c r="G12" s="3" t="s">
        <v>49</v>
      </c>
    </row>
    <row r="13" spans="1:7" ht="14.25" customHeight="1" x14ac:dyDescent="0.2">
      <c r="A13" s="3" t="s">
        <v>14</v>
      </c>
      <c r="B13" s="4">
        <f t="shared" si="0"/>
        <v>12</v>
      </c>
      <c r="C13" s="12" t="s">
        <v>60</v>
      </c>
      <c r="D13" s="13" t="str">
        <f>D12</f>
        <v>COMPOSITE(Plan_Code,'XYZ')</v>
      </c>
      <c r="E13" s="11" t="s">
        <v>61</v>
      </c>
      <c r="F13" s="12" t="s">
        <v>81</v>
      </c>
      <c r="G13" s="3" t="s">
        <v>49</v>
      </c>
    </row>
    <row r="14" spans="1:7" ht="14.25" customHeight="1" x14ac:dyDescent="0.2">
      <c r="A14" s="3" t="s">
        <v>14</v>
      </c>
      <c r="B14" s="4">
        <f t="shared" si="0"/>
        <v>13</v>
      </c>
      <c r="C14" s="12" t="s">
        <v>67</v>
      </c>
      <c r="D14" s="16" t="s">
        <v>109</v>
      </c>
      <c r="E14" s="11" t="s">
        <v>19</v>
      </c>
      <c r="F14" s="12" t="s">
        <v>82</v>
      </c>
      <c r="G14" s="3" t="s">
        <v>49</v>
      </c>
    </row>
    <row r="15" spans="1:7" ht="14.25" customHeight="1" x14ac:dyDescent="0.2">
      <c r="A15" s="3" t="s">
        <v>14</v>
      </c>
      <c r="B15" s="4">
        <f t="shared" si="0"/>
        <v>14</v>
      </c>
      <c r="C15" s="12" t="s">
        <v>67</v>
      </c>
      <c r="D15" s="16" t="str">
        <f>D14</f>
        <v>COMPOSITE(Plan_Code,'XYZ')</v>
      </c>
      <c r="E15" s="11" t="s">
        <v>64</v>
      </c>
      <c r="F15" s="12" t="s">
        <v>83</v>
      </c>
      <c r="G15" s="3" t="s">
        <v>49</v>
      </c>
    </row>
    <row r="16" spans="1:7" ht="14.25" customHeight="1" x14ac:dyDescent="0.2">
      <c r="A16" s="3" t="s">
        <v>14</v>
      </c>
      <c r="B16" s="4">
        <f t="shared" si="0"/>
        <v>15</v>
      </c>
      <c r="C16" s="12" t="s">
        <v>46</v>
      </c>
      <c r="D16" s="16" t="s">
        <v>109</v>
      </c>
      <c r="E16" s="11" t="s">
        <v>19</v>
      </c>
      <c r="F16" s="12" t="s">
        <v>84</v>
      </c>
      <c r="G16" s="3" t="s">
        <v>49</v>
      </c>
    </row>
    <row r="17" spans="1:8" ht="14.25" customHeight="1" x14ac:dyDescent="0.2">
      <c r="A17" s="3" t="s">
        <v>14</v>
      </c>
      <c r="B17" s="4">
        <f t="shared" si="0"/>
        <v>16</v>
      </c>
      <c r="C17" s="12" t="s">
        <v>46</v>
      </c>
      <c r="D17" s="13" t="s">
        <v>43</v>
      </c>
      <c r="E17" s="11" t="s">
        <v>16</v>
      </c>
      <c r="F17" s="12" t="s">
        <v>85</v>
      </c>
      <c r="G17" s="3" t="s">
        <v>49</v>
      </c>
    </row>
    <row r="18" spans="1:8" ht="14.25" customHeight="1" x14ac:dyDescent="0.2">
      <c r="A18" s="3" t="s">
        <v>14</v>
      </c>
      <c r="B18" s="4">
        <f t="shared" si="0"/>
        <v>17</v>
      </c>
      <c r="C18" s="12" t="str">
        <f>C17</f>
        <v>STG_PROFILER_CUST_MEMBERSHIP</v>
      </c>
      <c r="D18" s="16" t="s">
        <v>110</v>
      </c>
      <c r="E18" s="11" t="s">
        <v>47</v>
      </c>
      <c r="F18" s="12" t="s">
        <v>86</v>
      </c>
      <c r="G18" s="3" t="s">
        <v>49</v>
      </c>
    </row>
    <row r="19" spans="1:8" ht="14.25" customHeight="1" x14ac:dyDescent="0.2">
      <c r="A19" s="3" t="s">
        <v>14</v>
      </c>
      <c r="B19" s="4">
        <f t="shared" si="0"/>
        <v>18</v>
      </c>
      <c r="C19" s="12" t="str">
        <f>C18</f>
        <v>STG_PROFILER_CUST_MEMBERSHIP</v>
      </c>
      <c r="D19" s="13" t="str">
        <f>D18</f>
        <v>CustomerID, COMPOSITE(Plan_Code,'XYZ')</v>
      </c>
      <c r="E19" s="11" t="s">
        <v>52</v>
      </c>
      <c r="F19" s="12" t="s">
        <v>87</v>
      </c>
      <c r="G19" s="7" t="s">
        <v>99</v>
      </c>
    </row>
    <row r="20" spans="1:8" ht="14.25" customHeight="1" x14ac:dyDescent="0.2">
      <c r="A20" s="3" t="s">
        <v>14</v>
      </c>
      <c r="B20" s="4">
        <f t="shared" si="0"/>
        <v>19</v>
      </c>
      <c r="C20" s="6" t="s">
        <v>26</v>
      </c>
      <c r="D20" s="16" t="s">
        <v>111</v>
      </c>
      <c r="E20" s="11" t="s">
        <v>20</v>
      </c>
      <c r="F20" s="12"/>
      <c r="G20" s="3" t="s">
        <v>49</v>
      </c>
    </row>
    <row r="21" spans="1:8" ht="14.25" customHeight="1" x14ac:dyDescent="0.2">
      <c r="A21" s="3" t="s">
        <v>14</v>
      </c>
      <c r="B21" s="4">
        <f t="shared" si="0"/>
        <v>20</v>
      </c>
      <c r="C21" s="6" t="s">
        <v>26</v>
      </c>
      <c r="D21" s="16" t="s">
        <v>113</v>
      </c>
      <c r="E21" s="11" t="s">
        <v>92</v>
      </c>
      <c r="F21" s="12"/>
      <c r="G21" s="3" t="s">
        <v>49</v>
      </c>
    </row>
    <row r="22" spans="1:8" ht="14.25" customHeight="1" x14ac:dyDescent="0.2">
      <c r="A22" s="3" t="s">
        <v>14</v>
      </c>
      <c r="B22" s="4">
        <f t="shared" si="0"/>
        <v>21</v>
      </c>
      <c r="C22" s="6" t="s">
        <v>26</v>
      </c>
      <c r="D22" s="13" t="str">
        <f>D21</f>
        <v>COMPOSITE(Plan_Code,'XYZ'), Member, CONCATENATE(Segment;'TEST')</v>
      </c>
      <c r="E22" s="11" t="s">
        <v>93</v>
      </c>
      <c r="F22" s="12"/>
      <c r="G22" s="7" t="s">
        <v>98</v>
      </c>
    </row>
    <row r="23" spans="1:8" ht="14.25" customHeight="1" x14ac:dyDescent="0.2">
      <c r="A23" s="3" t="s">
        <v>14</v>
      </c>
      <c r="B23" s="4">
        <f t="shared" si="0"/>
        <v>22</v>
      </c>
      <c r="C23" s="6" t="s">
        <v>26</v>
      </c>
      <c r="D23" s="13" t="s">
        <v>91</v>
      </c>
      <c r="E23" s="11" t="s">
        <v>16</v>
      </c>
      <c r="F23" s="12"/>
      <c r="G23" s="3" t="s">
        <v>49</v>
      </c>
    </row>
    <row r="24" spans="1:8" ht="14.25" customHeight="1" x14ac:dyDescent="0.2">
      <c r="A24" s="3" t="s">
        <v>14</v>
      </c>
      <c r="B24" s="4">
        <f t="shared" si="0"/>
        <v>23</v>
      </c>
      <c r="C24" s="6" t="s">
        <v>26</v>
      </c>
      <c r="D24" s="16" t="s">
        <v>109</v>
      </c>
      <c r="E24" s="5" t="s">
        <v>19</v>
      </c>
      <c r="F24" s="12" t="s">
        <v>88</v>
      </c>
      <c r="G24" s="3" t="s">
        <v>49</v>
      </c>
    </row>
    <row r="25" spans="1:8" ht="14.25" customHeight="1" x14ac:dyDescent="0.25">
      <c r="B25" s="4"/>
      <c r="C25" s="6"/>
      <c r="E25" s="6"/>
      <c r="G25" s="6"/>
      <c r="H25" s="6"/>
    </row>
    <row r="26" spans="1:8" ht="14.25" customHeight="1" x14ac:dyDescent="0.25">
      <c r="B26" s="4"/>
      <c r="C26" s="6"/>
      <c r="E26" s="4"/>
      <c r="G26" s="6"/>
      <c r="H26" s="6"/>
    </row>
    <row r="27" spans="1:8" ht="14.25" customHeight="1" x14ac:dyDescent="0.25">
      <c r="B27" s="4"/>
      <c r="E27" s="4"/>
    </row>
    <row r="28" spans="1:8" ht="14.25" customHeight="1" x14ac:dyDescent="0.25">
      <c r="B28" s="4"/>
      <c r="E28" s="4"/>
      <c r="G28" s="2" t="s">
        <v>65</v>
      </c>
    </row>
    <row r="29" spans="1:8" ht="14.25" customHeight="1" x14ac:dyDescent="0.25">
      <c r="B29" s="4"/>
      <c r="E29" s="4"/>
      <c r="G29" s="8" t="s">
        <v>66</v>
      </c>
    </row>
    <row r="30" spans="1:8" ht="14.25" customHeight="1" x14ac:dyDescent="0.25">
      <c r="B30" s="4"/>
      <c r="E30" s="4"/>
      <c r="G30" s="8" t="s">
        <v>22</v>
      </c>
    </row>
    <row r="31" spans="1:8" ht="14.25" customHeight="1" x14ac:dyDescent="0.25">
      <c r="B31" s="4"/>
      <c r="E31" s="4"/>
      <c r="G31" s="8" t="s">
        <v>67</v>
      </c>
    </row>
    <row r="32" spans="1:8" ht="14.25" customHeight="1" x14ac:dyDescent="0.25">
      <c r="B32" s="4"/>
      <c r="E32" s="4"/>
      <c r="G32" s="8" t="s">
        <v>15</v>
      </c>
    </row>
    <row r="33" spans="2:7" ht="14.25" customHeight="1" x14ac:dyDescent="0.25">
      <c r="B33" s="4"/>
      <c r="E33" s="4"/>
      <c r="G33" s="8" t="s">
        <v>46</v>
      </c>
    </row>
    <row r="34" spans="2:7" ht="14.25" customHeight="1" x14ac:dyDescent="0.25">
      <c r="B34" s="4"/>
      <c r="E34" s="4"/>
      <c r="G34" s="8" t="s">
        <v>45</v>
      </c>
    </row>
    <row r="35" spans="2:7" ht="14.25" customHeight="1" x14ac:dyDescent="0.25">
      <c r="B35" s="4"/>
      <c r="E35" s="4"/>
      <c r="G35" s="8" t="s">
        <v>25</v>
      </c>
    </row>
    <row r="36" spans="2:7" ht="14.25" customHeight="1" x14ac:dyDescent="0.25">
      <c r="B36" s="4"/>
      <c r="E36" s="4"/>
      <c r="G36" s="8" t="s">
        <v>26</v>
      </c>
    </row>
    <row r="37" spans="2:7" ht="14.25" customHeight="1" x14ac:dyDescent="0.25">
      <c r="B37" s="4"/>
      <c r="E37" s="4"/>
    </row>
    <row r="40" spans="2:7" s="1" customFormat="1" ht="14.25" customHeight="1" x14ac:dyDescent="0.2">
      <c r="E40" s="3"/>
      <c r="G40" s="2"/>
    </row>
  </sheetData>
  <conditionalFormatting sqref="E2:E24 E38:E1048576">
    <cfRule type="containsText" dxfId="24" priority="45" stopIfTrue="1" operator="containsText" text="LSAT_">
      <formula>NOT(ISERROR(SEARCH("LSAT_",E2)))</formula>
    </cfRule>
    <cfRule type="containsText" dxfId="23" priority="46" stopIfTrue="1" operator="containsText" text="LNK_">
      <formula>NOT(ISERROR(SEARCH("LNK_",E2)))</formula>
    </cfRule>
    <cfRule type="containsText" dxfId="22" priority="47" stopIfTrue="1" operator="containsText" text="SAT_">
      <formula>NOT(ISERROR(SEARCH("SAT_",E2)))</formula>
    </cfRule>
    <cfRule type="containsText" dxfId="21" priority="48" stopIfTrue="1" operator="containsText" text="HUB_">
      <formula>NOT(ISERROR(SEARCH("HUB_",E2)))</formula>
    </cfRule>
  </conditionalFormatting>
  <conditionalFormatting sqref="E1">
    <cfRule type="containsText" dxfId="20" priority="37" stopIfTrue="1" operator="containsText" text="LSAT_">
      <formula>NOT(ISERROR(SEARCH("LSAT_",E1)))</formula>
    </cfRule>
    <cfRule type="containsText" dxfId="19" priority="38" stopIfTrue="1" operator="containsText" text="LNK_">
      <formula>NOT(ISERROR(SEARCH("LNK_",E1)))</formula>
    </cfRule>
    <cfRule type="containsText" dxfId="18" priority="39" stopIfTrue="1" operator="containsText" text="SAT_">
      <formula>NOT(ISERROR(SEARCH("SAT_",E1)))</formula>
    </cfRule>
    <cfRule type="containsText" dxfId="17" priority="40" stopIfTrue="1" operator="containsText" text="HUB_">
      <formula>NOT(ISERROR(SEARCH("HUB_",E1)))</formula>
    </cfRule>
  </conditionalFormatting>
  <pageMargins left="0.70866141732283472" right="0.70866141732283472" top="0.74803149606299213" bottom="0.74803149606299213" header="0.31496062992125984" footer="0.31496062992125984"/>
  <pageSetup paperSize="9" scale="46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6"/>
  </sheetPr>
  <dimension ref="A1:G21"/>
  <sheetViews>
    <sheetView tabSelected="1" topLeftCell="B1" zoomScaleNormal="100" workbookViewId="0">
      <selection activeCell="B25" sqref="B25"/>
    </sheetView>
  </sheetViews>
  <sheetFormatPr defaultRowHeight="15" x14ac:dyDescent="0.25"/>
  <cols>
    <col min="1" max="1" width="6.28515625" style="3" customWidth="1"/>
    <col min="2" max="2" width="32.5703125" style="3" bestFit="1" customWidth="1"/>
    <col min="3" max="3" width="29.28515625" style="3" bestFit="1" customWidth="1"/>
    <col min="4" max="4" width="30" style="3" bestFit="1" customWidth="1"/>
    <col min="5" max="5" width="29.42578125" style="3" bestFit="1" customWidth="1"/>
    <col min="6" max="6" width="19.28515625" bestFit="1" customWidth="1"/>
    <col min="7" max="7" width="29.85546875" bestFit="1" customWidth="1"/>
    <col min="8" max="8" width="67.28515625" style="3" customWidth="1"/>
    <col min="9" max="9" width="26.42578125" style="3" bestFit="1" customWidth="1"/>
    <col min="10" max="16384" width="9.140625" style="3"/>
  </cols>
  <sheetData>
    <row r="1" spans="1:7" ht="12.75" x14ac:dyDescent="0.2">
      <c r="A1" s="9" t="s">
        <v>13</v>
      </c>
      <c r="B1" s="3" t="s">
        <v>4</v>
      </c>
      <c r="C1" s="3" t="s">
        <v>5</v>
      </c>
      <c r="D1" s="3" t="s">
        <v>2</v>
      </c>
      <c r="E1" s="3" t="s">
        <v>3</v>
      </c>
      <c r="F1" s="3" t="s">
        <v>6</v>
      </c>
      <c r="G1" s="3" t="s">
        <v>7</v>
      </c>
    </row>
    <row r="2" spans="1:7" ht="12.75" x14ac:dyDescent="0.2">
      <c r="A2" s="1">
        <v>1</v>
      </c>
      <c r="B2" s="10" t="s">
        <v>15</v>
      </c>
      <c r="C2" s="10" t="s">
        <v>29</v>
      </c>
      <c r="D2" s="3" t="s">
        <v>17</v>
      </c>
      <c r="E2" s="10" t="s">
        <v>28</v>
      </c>
      <c r="F2" s="10"/>
      <c r="G2" s="10"/>
    </row>
    <row r="3" spans="1:7" ht="12.75" x14ac:dyDescent="0.2">
      <c r="A3" s="1">
        <f>A2+1</f>
        <v>2</v>
      </c>
      <c r="B3" s="10" t="s">
        <v>15</v>
      </c>
      <c r="C3" s="10" t="s">
        <v>30</v>
      </c>
      <c r="D3" s="3" t="s">
        <v>17</v>
      </c>
      <c r="E3" s="10" t="s">
        <v>40</v>
      </c>
      <c r="F3" s="10"/>
      <c r="G3" s="10"/>
    </row>
    <row r="4" spans="1:7" ht="12.75" x14ac:dyDescent="0.2">
      <c r="A4" s="1">
        <f t="shared" ref="A4:A21" si="0">A3+1</f>
        <v>3</v>
      </c>
      <c r="B4" s="10" t="s">
        <v>15</v>
      </c>
      <c r="C4" s="10" t="s">
        <v>31</v>
      </c>
      <c r="D4" s="3" t="s">
        <v>17</v>
      </c>
      <c r="E4" s="10" t="s">
        <v>41</v>
      </c>
      <c r="F4" s="10"/>
      <c r="G4" s="10"/>
    </row>
    <row r="5" spans="1:7" ht="12.75" x14ac:dyDescent="0.2">
      <c r="A5" s="1">
        <f t="shared" si="0"/>
        <v>4</v>
      </c>
      <c r="B5" s="10" t="s">
        <v>15</v>
      </c>
      <c r="C5" s="10" t="s">
        <v>32</v>
      </c>
      <c r="D5" s="3" t="s">
        <v>17</v>
      </c>
      <c r="E5" s="10" t="s">
        <v>39</v>
      </c>
      <c r="F5" s="10"/>
      <c r="G5" s="10"/>
    </row>
    <row r="6" spans="1:7" ht="12.75" x14ac:dyDescent="0.2">
      <c r="A6" s="1">
        <f t="shared" si="0"/>
        <v>5</v>
      </c>
      <c r="B6" s="10" t="s">
        <v>15</v>
      </c>
      <c r="C6" s="10" t="s">
        <v>8</v>
      </c>
      <c r="D6" s="3" t="s">
        <v>17</v>
      </c>
      <c r="E6" s="10" t="s">
        <v>9</v>
      </c>
      <c r="F6" s="10"/>
      <c r="G6" s="10"/>
    </row>
    <row r="7" spans="1:7" ht="12.75" x14ac:dyDescent="0.2">
      <c r="A7" s="1">
        <f t="shared" si="0"/>
        <v>6</v>
      </c>
      <c r="B7" s="10" t="s">
        <v>15</v>
      </c>
      <c r="C7" s="10" t="s">
        <v>33</v>
      </c>
      <c r="D7" s="3" t="s">
        <v>17</v>
      </c>
      <c r="E7" s="10" t="s">
        <v>38</v>
      </c>
      <c r="F7" s="10"/>
      <c r="G7" s="10"/>
    </row>
    <row r="8" spans="1:7" ht="12.75" x14ac:dyDescent="0.2">
      <c r="A8" s="1">
        <f t="shared" si="0"/>
        <v>7</v>
      </c>
      <c r="B8" s="10" t="s">
        <v>15</v>
      </c>
      <c r="C8" s="10" t="s">
        <v>34</v>
      </c>
      <c r="D8" s="3" t="s">
        <v>17</v>
      </c>
      <c r="E8" s="10" t="s">
        <v>37</v>
      </c>
      <c r="F8" s="10"/>
      <c r="G8" s="10"/>
    </row>
    <row r="9" spans="1:7" ht="12.75" x14ac:dyDescent="0.2">
      <c r="A9" s="1">
        <f t="shared" si="0"/>
        <v>8</v>
      </c>
      <c r="B9" s="10" t="s">
        <v>15</v>
      </c>
      <c r="C9" s="10" t="s">
        <v>35</v>
      </c>
      <c r="D9" s="3" t="s">
        <v>17</v>
      </c>
      <c r="E9" s="10" t="s">
        <v>36</v>
      </c>
      <c r="F9" s="10"/>
      <c r="G9" s="10"/>
    </row>
    <row r="10" spans="1:7" ht="12.75" x14ac:dyDescent="0.2">
      <c r="A10" s="1">
        <f t="shared" si="0"/>
        <v>9</v>
      </c>
      <c r="B10" s="10" t="s">
        <v>15</v>
      </c>
      <c r="C10" s="10" t="s">
        <v>90</v>
      </c>
      <c r="D10" s="3" t="s">
        <v>17</v>
      </c>
      <c r="E10" s="10" t="s">
        <v>89</v>
      </c>
      <c r="F10" s="10"/>
      <c r="G10" s="10"/>
    </row>
    <row r="11" spans="1:7" ht="12.75" x14ac:dyDescent="0.2">
      <c r="A11" s="1">
        <f t="shared" si="0"/>
        <v>10</v>
      </c>
      <c r="B11" s="15" t="s">
        <v>25</v>
      </c>
      <c r="C11" s="10" t="s">
        <v>50</v>
      </c>
      <c r="D11" s="15" t="s">
        <v>48</v>
      </c>
      <c r="E11" s="10" t="s">
        <v>51</v>
      </c>
      <c r="F11" s="10"/>
      <c r="G11" s="10"/>
    </row>
    <row r="12" spans="1:7" ht="12.75" x14ac:dyDescent="0.2">
      <c r="A12" s="1">
        <f t="shared" si="0"/>
        <v>11</v>
      </c>
      <c r="B12" s="15" t="str">
        <f>'DV - Table Mapping'!C13</f>
        <v>STG_PROFILER_PLAN</v>
      </c>
      <c r="C12" s="10" t="s">
        <v>63</v>
      </c>
      <c r="D12" s="15" t="str">
        <f>'DV - Table Mapping'!E13</f>
        <v>SAT_MEMBERSHIP_PLAN_DETAIL</v>
      </c>
      <c r="E12" s="10" t="s">
        <v>62</v>
      </c>
      <c r="F12" s="10"/>
      <c r="G12" s="10"/>
    </row>
    <row r="13" spans="1:7" ht="12.75" x14ac:dyDescent="0.2">
      <c r="A13" s="1">
        <f t="shared" si="0"/>
        <v>12</v>
      </c>
      <c r="B13" s="15" t="str">
        <f>'DV - Table Mapping'!C15</f>
        <v>STG_PROFILER_ESTIMATED_WORTH</v>
      </c>
      <c r="C13" s="10" t="s">
        <v>70</v>
      </c>
      <c r="D13" s="15" t="str">
        <f>'DV - Table Mapping'!E15</f>
        <v>SAT_MEMBERSHIP_PLAN_VALUATION</v>
      </c>
      <c r="E13" s="10" t="s">
        <v>68</v>
      </c>
      <c r="F13" s="10"/>
      <c r="G13" s="10" t="s">
        <v>115</v>
      </c>
    </row>
    <row r="14" spans="1:7" ht="12.75" x14ac:dyDescent="0.2">
      <c r="A14" s="1">
        <f t="shared" si="0"/>
        <v>13</v>
      </c>
      <c r="B14" s="15" t="str">
        <f>'DV - Table Mapping'!C15</f>
        <v>STG_PROFILER_ESTIMATED_WORTH</v>
      </c>
      <c r="C14" s="10" t="s">
        <v>71</v>
      </c>
      <c r="D14" s="15" t="str">
        <f>'DV - Table Mapping'!E15</f>
        <v>SAT_MEMBERSHIP_PLAN_VALUATION</v>
      </c>
      <c r="E14" s="10" t="s">
        <v>69</v>
      </c>
      <c r="F14" s="10"/>
      <c r="G14" s="10"/>
    </row>
    <row r="15" spans="1:7" ht="12.75" x14ac:dyDescent="0.2">
      <c r="A15" s="1">
        <f t="shared" si="0"/>
        <v>14</v>
      </c>
      <c r="B15" s="15" t="str">
        <f>'DV - Table Mapping'!C18</f>
        <v>STG_PROFILER_CUST_MEMBERSHIP</v>
      </c>
      <c r="C15" s="10" t="s">
        <v>58</v>
      </c>
      <c r="D15" s="15" t="str">
        <f>'DV - Table Mapping'!E18</f>
        <v>LNK_MEMBERSHIP</v>
      </c>
      <c r="E15" s="10" t="s">
        <v>59</v>
      </c>
      <c r="F15" s="10"/>
      <c r="G15" s="10" t="s">
        <v>114</v>
      </c>
    </row>
    <row r="16" spans="1:7" ht="12.75" x14ac:dyDescent="0.2">
      <c r="A16" s="1">
        <f t="shared" si="0"/>
        <v>15</v>
      </c>
      <c r="B16" s="15" t="str">
        <f>'DV - Table Mapping'!C19</f>
        <v>STG_PROFILER_CUST_MEMBERSHIP</v>
      </c>
      <c r="C16" s="10" t="s">
        <v>70</v>
      </c>
      <c r="D16" s="15" t="s">
        <v>93</v>
      </c>
      <c r="E16" s="10" t="s">
        <v>94</v>
      </c>
      <c r="F16" s="10"/>
      <c r="G16" s="10" t="s">
        <v>116</v>
      </c>
    </row>
    <row r="17" spans="1:7" ht="12.75" x14ac:dyDescent="0.2">
      <c r="A17" s="1">
        <f t="shared" si="0"/>
        <v>16</v>
      </c>
      <c r="B17" s="15" t="str">
        <f>'DV - Table Mapping'!C20</f>
        <v>STG_PROFILER_PERSONALISED_COSTING</v>
      </c>
      <c r="C17" s="10" t="s">
        <v>96</v>
      </c>
      <c r="D17" s="15" t="s">
        <v>93</v>
      </c>
      <c r="E17" s="10" t="s">
        <v>95</v>
      </c>
      <c r="F17" s="10"/>
      <c r="G17" s="10"/>
    </row>
    <row r="18" spans="1:7" ht="12.75" x14ac:dyDescent="0.2">
      <c r="A18" s="1">
        <f t="shared" si="0"/>
        <v>17</v>
      </c>
      <c r="B18" s="15" t="s">
        <v>46</v>
      </c>
      <c r="C18" s="10" t="s">
        <v>56</v>
      </c>
      <c r="D18" s="15" t="s">
        <v>52</v>
      </c>
      <c r="E18" s="10" t="s">
        <v>53</v>
      </c>
      <c r="F18" s="10"/>
      <c r="G18" s="10"/>
    </row>
    <row r="19" spans="1:7" ht="12.75" x14ac:dyDescent="0.2">
      <c r="A19" s="1">
        <f t="shared" si="0"/>
        <v>18</v>
      </c>
      <c r="B19" s="15" t="s">
        <v>46</v>
      </c>
      <c r="C19" s="10" t="s">
        <v>57</v>
      </c>
      <c r="D19" s="15" t="s">
        <v>52</v>
      </c>
      <c r="E19" s="10" t="s">
        <v>54</v>
      </c>
      <c r="F19" s="10"/>
      <c r="G19" s="10"/>
    </row>
    <row r="20" spans="1:7" ht="12.75" x14ac:dyDescent="0.2">
      <c r="A20" s="1">
        <f t="shared" si="0"/>
        <v>19</v>
      </c>
      <c r="B20" s="15" t="s">
        <v>46</v>
      </c>
      <c r="C20" s="10" t="s">
        <v>58</v>
      </c>
      <c r="D20" s="15" t="s">
        <v>52</v>
      </c>
      <c r="E20" s="10" t="s">
        <v>55</v>
      </c>
      <c r="F20" s="10"/>
      <c r="G20" s="10"/>
    </row>
    <row r="21" spans="1:7" ht="12.75" x14ac:dyDescent="0.2">
      <c r="A21" s="1">
        <f t="shared" si="0"/>
        <v>20</v>
      </c>
      <c r="B21" s="3" t="s">
        <v>22</v>
      </c>
      <c r="C21" s="3" t="s">
        <v>24</v>
      </c>
      <c r="D21" s="3" t="s">
        <v>21</v>
      </c>
      <c r="E21" s="3" t="s">
        <v>27</v>
      </c>
      <c r="F21" s="3"/>
      <c r="G21" s="3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6"/>
  <sheetViews>
    <sheetView workbookViewId="0">
      <selection activeCell="A12" sqref="A12"/>
    </sheetView>
  </sheetViews>
  <sheetFormatPr defaultRowHeight="15" x14ac:dyDescent="0.25"/>
  <sheetData>
    <row r="1" spans="1:3" x14ac:dyDescent="0.25">
      <c r="A1" s="3"/>
      <c r="B1" s="3"/>
      <c r="C1" s="1"/>
    </row>
    <row r="2" spans="1:3" x14ac:dyDescent="0.25">
      <c r="A2" s="3" t="s">
        <v>105</v>
      </c>
      <c r="B2" s="3"/>
      <c r="C2" s="3"/>
    </row>
    <row r="3" spans="1:3" x14ac:dyDescent="0.25">
      <c r="A3" s="3" t="s">
        <v>104</v>
      </c>
      <c r="B3" s="3"/>
      <c r="C3" s="3"/>
    </row>
    <row r="4" spans="1:3" x14ac:dyDescent="0.25">
      <c r="A4" s="3" t="s">
        <v>106</v>
      </c>
      <c r="B4" s="3"/>
      <c r="C4" s="3"/>
    </row>
    <row r="5" spans="1:3" x14ac:dyDescent="0.25">
      <c r="A5" s="3" t="s">
        <v>107</v>
      </c>
      <c r="B5" s="3"/>
      <c r="C5" s="3"/>
    </row>
    <row r="6" spans="1:3" x14ac:dyDescent="0.25">
      <c r="A6" s="3"/>
      <c r="B6" s="3"/>
      <c r="C6" s="3"/>
    </row>
    <row r="7" spans="1:3" x14ac:dyDescent="0.25">
      <c r="A7" s="3" t="s">
        <v>108</v>
      </c>
      <c r="B7" s="3"/>
      <c r="C7" s="3"/>
    </row>
    <row r="8" spans="1:3" x14ac:dyDescent="0.25">
      <c r="A8" s="3"/>
      <c r="B8" s="3"/>
      <c r="C8" s="3"/>
    </row>
    <row r="9" spans="1:3" x14ac:dyDescent="0.25">
      <c r="A9" s="3"/>
      <c r="B9" s="3"/>
      <c r="C9" s="3"/>
    </row>
    <row r="10" spans="1:3" x14ac:dyDescent="0.25">
      <c r="A10" s="3"/>
      <c r="B10" s="3"/>
      <c r="C10" s="3"/>
    </row>
    <row r="11" spans="1:3" x14ac:dyDescent="0.25">
      <c r="A11" s="3"/>
      <c r="B11" s="3"/>
      <c r="C11" s="3"/>
    </row>
    <row r="12" spans="1:3" x14ac:dyDescent="0.25">
      <c r="A12" s="3"/>
      <c r="B12" s="3"/>
      <c r="C12" s="3"/>
    </row>
    <row r="13" spans="1:3" x14ac:dyDescent="0.25">
      <c r="A13" s="3"/>
      <c r="B13" s="3"/>
      <c r="C13" s="3"/>
    </row>
    <row r="14" spans="1:3" x14ac:dyDescent="0.25">
      <c r="A14" s="3"/>
      <c r="B14" s="3"/>
      <c r="C14" s="3"/>
    </row>
    <row r="15" spans="1:3" x14ac:dyDescent="0.25">
      <c r="A15" s="3"/>
      <c r="B15" s="3"/>
      <c r="C15" s="3"/>
    </row>
    <row r="16" spans="1:3" x14ac:dyDescent="0.25">
      <c r="A16" s="3"/>
      <c r="B16" s="3"/>
      <c r="C1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DV - Table Mapping</vt:lpstr>
      <vt:lpstr>DV - Attribute Mapping</vt:lpstr>
      <vt:lpstr>Help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Roelant Vos</dc:creator>
  <cp:lastModifiedBy>Roelant Vos</cp:lastModifiedBy>
  <cp:lastPrinted>2012-05-14T05:08:50Z</cp:lastPrinted>
  <dcterms:created xsi:type="dcterms:W3CDTF">2012-02-15T02:56:08Z</dcterms:created>
  <dcterms:modified xsi:type="dcterms:W3CDTF">2016-09-16T15:18:22Z</dcterms:modified>
</cp:coreProperties>
</file>